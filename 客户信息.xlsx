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WpsReserved_CellImgLis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646" name="ID_4A532F83D2A84AE3A57FEFB2894F6261" descr="post_object_image_3962291254"/>
        <xdr:cNvPicPr/>
      </xdr:nvPicPr>
      <xdr:blipFill>
        <a:blip r:embed="rId1"/>
        <a:stretch>
          <a:fillRect/>
        </a:stretch>
      </xdr:blipFill>
      <xdr:spPr>
        <a:xfrm>
          <a:off x="0" y="0"/>
          <a:ext cx="2286000" cy="2514600"/>
        </a:xfrm>
        <a:prstGeom prst="rect">
          <a:avLst/>
        </a:prstGeom>
      </xdr:spPr>
    </xdr:pic>
  </etc:cellImage>
  <etc:cellImage>
    <xdr:pic>
      <xdr:nvPicPr>
        <xdr:cNvPr id="629" name="ID_1D382C0ABD5C42599112E51B6D3E19A2" descr="post_object_image_1655235219"/>
        <xdr:cNvPicPr/>
      </xdr:nvPicPr>
      <xdr:blipFill>
        <a:blip r:embed="rId2"/>
        <a:stretch>
          <a:fillRect/>
        </a:stretch>
      </xdr:blipFill>
      <xdr:spPr>
        <a:xfrm>
          <a:off x="0" y="0"/>
          <a:ext cx="2215515" cy="2655570"/>
        </a:xfrm>
        <a:prstGeom prst="rect">
          <a:avLst/>
        </a:prstGeom>
      </xdr:spPr>
    </xdr:pic>
  </etc:cellImage>
  <etc:cellImage>
    <xdr:pic>
      <xdr:nvPicPr>
        <xdr:cNvPr id="107" name="ID_0718542A167E49928848EE001524CDA8" descr="post_object_image_1914117274"/>
        <xdr:cNvPicPr/>
      </xdr:nvPicPr>
      <xdr:blipFill>
        <a:blip r:embed="rId3"/>
        <a:stretch>
          <a:fillRect/>
        </a:stretch>
      </xdr:blipFill>
      <xdr:spPr>
        <a:xfrm>
          <a:off x="0" y="0"/>
          <a:ext cx="2362200" cy="2506980"/>
        </a:xfrm>
        <a:prstGeom prst="rect">
          <a:avLst/>
        </a:prstGeom>
      </xdr:spPr>
    </xdr:pic>
  </etc:cellImage>
  <etc:cellImage>
    <xdr:pic>
      <xdr:nvPicPr>
        <xdr:cNvPr id="545" name="ID_6599D147C9434A4E90E144737AAF0667" descr="post_object_image_4049780632"/>
        <xdr:cNvPicPr/>
      </xdr:nvPicPr>
      <xdr:blipFill>
        <a:blip r:embed="rId4"/>
        <a:stretch>
          <a:fillRect/>
        </a:stretch>
      </xdr:blipFill>
      <xdr:spPr>
        <a:xfrm>
          <a:off x="0" y="0"/>
          <a:ext cx="2255520" cy="2514600"/>
        </a:xfrm>
        <a:prstGeom prst="rect">
          <a:avLst/>
        </a:prstGeom>
      </xdr:spPr>
    </xdr:pic>
  </etc:cellImage>
  <etc:cellImage>
    <xdr:pic>
      <xdr:nvPicPr>
        <xdr:cNvPr id="387" name="ID_322BB7CC772A4AA695D9B5A65321A7F8" descr="post_object_image_1316521234"/>
        <xdr:cNvPicPr/>
      </xdr:nvPicPr>
      <xdr:blipFill>
        <a:blip r:embed="rId5"/>
        <a:stretch>
          <a:fillRect/>
        </a:stretch>
      </xdr:blipFill>
      <xdr:spPr>
        <a:xfrm>
          <a:off x="0" y="0"/>
          <a:ext cx="2179320" cy="2484120"/>
        </a:xfrm>
        <a:prstGeom prst="rect">
          <a:avLst/>
        </a:prstGeom>
      </xdr:spPr>
    </xdr:pic>
  </etc:cellImage>
  <etc:cellImage>
    <xdr:pic>
      <xdr:nvPicPr>
        <xdr:cNvPr id="542" name="ID_9A5E35D3307D497BAF8B1E1EDAD0FA8F" descr="post_object_image_2996888641"/>
        <xdr:cNvPicPr/>
      </xdr:nvPicPr>
      <xdr:blipFill>
        <a:blip r:embed="rId6"/>
        <a:stretch>
          <a:fillRect/>
        </a:stretch>
      </xdr:blipFill>
      <xdr:spPr>
        <a:xfrm>
          <a:off x="0" y="0"/>
          <a:ext cx="2240280" cy="2514600"/>
        </a:xfrm>
        <a:prstGeom prst="rect">
          <a:avLst/>
        </a:prstGeom>
      </xdr:spPr>
    </xdr:pic>
  </etc:cellImage>
  <etc:cellImage>
    <xdr:pic>
      <xdr:nvPicPr>
        <xdr:cNvPr id="173" name="ID_4433A03A8BEA4ADF9BE5EB3569B20100" descr="post_object_image_3105736987"/>
        <xdr:cNvPicPr/>
      </xdr:nvPicPr>
      <xdr:blipFill>
        <a:blip r:embed="rId7"/>
        <a:stretch>
          <a:fillRect/>
        </a:stretch>
      </xdr:blipFill>
      <xdr:spPr>
        <a:xfrm>
          <a:off x="0" y="0"/>
          <a:ext cx="3383280" cy="3154680"/>
        </a:xfrm>
        <a:prstGeom prst="rect">
          <a:avLst/>
        </a:prstGeom>
      </xdr:spPr>
    </xdr:pic>
  </etc:cellImage>
  <etc:cellImage>
    <xdr:pic>
      <xdr:nvPicPr>
        <xdr:cNvPr id="65" name="ID_597DB8E102694F289E1EDE37B7308685" descr="post_object_image_1009278670"/>
        <xdr:cNvPicPr/>
      </xdr:nvPicPr>
      <xdr:blipFill>
        <a:blip r:embed="rId8"/>
        <a:stretch>
          <a:fillRect/>
        </a:stretch>
      </xdr:blipFill>
      <xdr:spPr>
        <a:xfrm>
          <a:off x="0" y="0"/>
          <a:ext cx="2171700" cy="2545080"/>
        </a:xfrm>
        <a:prstGeom prst="rect">
          <a:avLst/>
        </a:prstGeom>
      </xdr:spPr>
    </xdr:pic>
  </etc:cellImage>
  <etc:cellImage>
    <xdr:pic>
      <xdr:nvPicPr>
        <xdr:cNvPr id="544" name="ID_8E4CC2831EB64CD7AB3BD1160A1FC75F" descr="post_object_image_725754084"/>
        <xdr:cNvPicPr/>
      </xdr:nvPicPr>
      <xdr:blipFill>
        <a:blip r:embed="rId9"/>
        <a:stretch>
          <a:fillRect/>
        </a:stretch>
      </xdr:blipFill>
      <xdr:spPr>
        <a:xfrm>
          <a:off x="0" y="0"/>
          <a:ext cx="2255520" cy="2514600"/>
        </a:xfrm>
        <a:prstGeom prst="rect">
          <a:avLst/>
        </a:prstGeom>
      </xdr:spPr>
    </xdr:pic>
  </etc:cellImage>
  <etc:cellImage>
    <xdr:pic>
      <xdr:nvPicPr>
        <xdr:cNvPr id="67" name="ID_AE4EE246C4624D589E0FA6B9E1135C90" descr="post_object_image_1942190333"/>
        <xdr:cNvPicPr/>
      </xdr:nvPicPr>
      <xdr:blipFill>
        <a:blip r:embed="rId10"/>
        <a:stretch>
          <a:fillRect/>
        </a:stretch>
      </xdr:blipFill>
      <xdr:spPr>
        <a:xfrm>
          <a:off x="0" y="0"/>
          <a:ext cx="2217420" cy="2484120"/>
        </a:xfrm>
        <a:prstGeom prst="rect">
          <a:avLst/>
        </a:prstGeom>
      </xdr:spPr>
    </xdr:pic>
  </etc:cellImage>
  <etc:cellImage>
    <xdr:pic>
      <xdr:nvPicPr>
        <xdr:cNvPr id="172" name="ID_AAABCF9C0935445E86CA7D3FF8AF2F45" descr="post_object_image_9175417"/>
        <xdr:cNvPicPr/>
      </xdr:nvPicPr>
      <xdr:blipFill>
        <a:blip r:embed="rId11"/>
        <a:stretch>
          <a:fillRect/>
        </a:stretch>
      </xdr:blipFill>
      <xdr:spPr>
        <a:xfrm>
          <a:off x="0" y="0"/>
          <a:ext cx="2324100" cy="2575560"/>
        </a:xfrm>
        <a:prstGeom prst="rect">
          <a:avLst/>
        </a:prstGeom>
      </xdr:spPr>
    </xdr:pic>
  </etc:cellImage>
  <etc:cellImage>
    <xdr:pic>
      <xdr:nvPicPr>
        <xdr:cNvPr id="12" name="ID_83E31D5C1EB24667ACCE592FFF6BE00C" descr="post_object_image_547419895"/>
        <xdr:cNvPicPr/>
      </xdr:nvPicPr>
      <xdr:blipFill>
        <a:blip r:embed="rId12"/>
        <a:stretch>
          <a:fillRect/>
        </a:stretch>
      </xdr:blipFill>
      <xdr:spPr>
        <a:xfrm>
          <a:off x="0" y="0"/>
          <a:ext cx="2194560" cy="2484120"/>
        </a:xfrm>
        <a:prstGeom prst="rect">
          <a:avLst/>
        </a:prstGeom>
      </xdr:spPr>
    </xdr:pic>
  </etc:cellImage>
  <etc:cellImage>
    <xdr:pic>
      <xdr:nvPicPr>
        <xdr:cNvPr id="174" name="ID_810E02C99B964E9394FFAA90A1648B97" descr="post_object_image_903793726"/>
        <xdr:cNvPicPr/>
      </xdr:nvPicPr>
      <xdr:blipFill>
        <a:blip r:embed="rId13"/>
        <a:stretch>
          <a:fillRect/>
        </a:stretch>
      </xdr:blipFill>
      <xdr:spPr>
        <a:xfrm>
          <a:off x="0" y="0"/>
          <a:ext cx="2209800" cy="2499360"/>
        </a:xfrm>
        <a:prstGeom prst="rect">
          <a:avLst/>
        </a:prstGeom>
      </xdr:spPr>
    </xdr:pic>
  </etc:cellImage>
  <etc:cellImage>
    <xdr:pic>
      <xdr:nvPicPr>
        <xdr:cNvPr id="136" name="ID_5966C33D60434930928F95428FAF776B" descr="post_object_image_3464347537"/>
        <xdr:cNvPicPr/>
      </xdr:nvPicPr>
      <xdr:blipFill>
        <a:blip r:embed="rId14"/>
        <a:stretch>
          <a:fillRect/>
        </a:stretch>
      </xdr:blipFill>
      <xdr:spPr>
        <a:xfrm>
          <a:off x="0" y="0"/>
          <a:ext cx="2171700" cy="2438400"/>
        </a:xfrm>
        <a:prstGeom prst="rect">
          <a:avLst/>
        </a:prstGeom>
      </xdr:spPr>
    </xdr:pic>
  </etc:cellImage>
  <etc:cellImage>
    <xdr:pic>
      <xdr:nvPicPr>
        <xdr:cNvPr id="183" name="ID_08486E1AA36C45FE9DC1967D57CE5AE6" descr="post_object_image_2431021445"/>
        <xdr:cNvPicPr/>
      </xdr:nvPicPr>
      <xdr:blipFill>
        <a:blip r:embed="rId15"/>
        <a:stretch>
          <a:fillRect/>
        </a:stretch>
      </xdr:blipFill>
      <xdr:spPr>
        <a:xfrm>
          <a:off x="0" y="0"/>
          <a:ext cx="2217420" cy="2560320"/>
        </a:xfrm>
        <a:prstGeom prst="rect">
          <a:avLst/>
        </a:prstGeom>
      </xdr:spPr>
    </xdr:pic>
  </etc:cellImage>
  <etc:cellImage>
    <xdr:pic>
      <xdr:nvPicPr>
        <xdr:cNvPr id="202" name="ID_7CD299CF9143402E9DCD6CA73070837E" descr="post_object_image_3017004139"/>
        <xdr:cNvPicPr/>
      </xdr:nvPicPr>
      <xdr:blipFill>
        <a:blip r:embed="rId16"/>
        <a:stretch>
          <a:fillRect/>
        </a:stretch>
      </xdr:blipFill>
      <xdr:spPr>
        <a:xfrm>
          <a:off x="0" y="0"/>
          <a:ext cx="2179320" cy="2514600"/>
        </a:xfrm>
        <a:prstGeom prst="rect">
          <a:avLst/>
        </a:prstGeom>
      </xdr:spPr>
    </xdr:pic>
  </etc:cellImage>
  <etc:cellImage>
    <xdr:pic>
      <xdr:nvPicPr>
        <xdr:cNvPr id="602" name="ID_98EFD791D0F746558779A139B06DA76D" descr="post_object_image_470112962"/>
        <xdr:cNvPicPr/>
      </xdr:nvPicPr>
      <xdr:blipFill>
        <a:blip r:embed="rId17"/>
        <a:stretch>
          <a:fillRect/>
        </a:stretch>
      </xdr:blipFill>
      <xdr:spPr>
        <a:xfrm>
          <a:off x="0" y="0"/>
          <a:ext cx="2316480" cy="2506980"/>
        </a:xfrm>
        <a:prstGeom prst="rect">
          <a:avLst/>
        </a:prstGeom>
      </xdr:spPr>
    </xdr:pic>
  </etc:cellImage>
  <etc:cellImage>
    <xdr:pic>
      <xdr:nvPicPr>
        <xdr:cNvPr id="206" name="ID_E7E137304E9E4A729A540352F352A19F" descr="post_object_image_102204342"/>
        <xdr:cNvPicPr/>
      </xdr:nvPicPr>
      <xdr:blipFill>
        <a:blip r:embed="rId18"/>
        <a:stretch>
          <a:fillRect/>
        </a:stretch>
      </xdr:blipFill>
      <xdr:spPr>
        <a:xfrm>
          <a:off x="0" y="0"/>
          <a:ext cx="2164080" cy="2476500"/>
        </a:xfrm>
        <a:prstGeom prst="rect">
          <a:avLst/>
        </a:prstGeom>
      </xdr:spPr>
    </xdr:pic>
  </etc:cellImage>
  <etc:cellImage>
    <xdr:pic>
      <xdr:nvPicPr>
        <xdr:cNvPr id="194" name="ID_182342D2F83B4C57A8F3DB1CFCDD42D2" descr="post_object_image_2015440771"/>
        <xdr:cNvPicPr/>
      </xdr:nvPicPr>
      <xdr:blipFill>
        <a:blip r:embed="rId19"/>
        <a:stretch>
          <a:fillRect/>
        </a:stretch>
      </xdr:blipFill>
      <xdr:spPr>
        <a:xfrm>
          <a:off x="0" y="0"/>
          <a:ext cx="2179320" cy="2537460"/>
        </a:xfrm>
        <a:prstGeom prst="rect">
          <a:avLst/>
        </a:prstGeom>
      </xdr:spPr>
    </xdr:pic>
  </etc:cellImage>
  <etc:cellImage>
    <xdr:pic>
      <xdr:nvPicPr>
        <xdr:cNvPr id="209" name="ID_252CD4B5F2ED4342878889C24791399F" descr="post_object_image_4029879809"/>
        <xdr:cNvPicPr/>
      </xdr:nvPicPr>
      <xdr:blipFill>
        <a:blip r:embed="rId20"/>
        <a:stretch>
          <a:fillRect/>
        </a:stretch>
      </xdr:blipFill>
      <xdr:spPr>
        <a:xfrm>
          <a:off x="0" y="0"/>
          <a:ext cx="2141220" cy="2468880"/>
        </a:xfrm>
        <a:prstGeom prst="rect">
          <a:avLst/>
        </a:prstGeom>
      </xdr:spPr>
    </xdr:pic>
  </etc:cellImage>
  <etc:cellImage>
    <xdr:pic>
      <xdr:nvPicPr>
        <xdr:cNvPr id="95" name="ID_3223FCECD69E447FA62C45D1AD941B59" descr="post_object_image_3631429878"/>
        <xdr:cNvPicPr/>
      </xdr:nvPicPr>
      <xdr:blipFill>
        <a:blip r:embed="rId21"/>
        <a:stretch>
          <a:fillRect/>
        </a:stretch>
      </xdr:blipFill>
      <xdr:spPr>
        <a:xfrm>
          <a:off x="0" y="0"/>
          <a:ext cx="2240280" cy="2537460"/>
        </a:xfrm>
        <a:prstGeom prst="rect">
          <a:avLst/>
        </a:prstGeom>
      </xdr:spPr>
    </xdr:pic>
  </etc:cellImage>
  <etc:cellImage>
    <xdr:pic>
      <xdr:nvPicPr>
        <xdr:cNvPr id="365" name="ID_A64B83B9D822430292C836D1E0B4C67A" descr="post_object_image_1911524373"/>
        <xdr:cNvPicPr/>
      </xdr:nvPicPr>
      <xdr:blipFill>
        <a:blip r:embed="rId22"/>
        <a:stretch>
          <a:fillRect/>
        </a:stretch>
      </xdr:blipFill>
      <xdr:spPr>
        <a:xfrm>
          <a:off x="0" y="0"/>
          <a:ext cx="3459480" cy="3238500"/>
        </a:xfrm>
        <a:prstGeom prst="rect">
          <a:avLst/>
        </a:prstGeom>
      </xdr:spPr>
    </xdr:pic>
  </etc:cellImage>
  <etc:cellImage>
    <xdr:pic>
      <xdr:nvPicPr>
        <xdr:cNvPr id="114" name="ID_82EE4D6B83E847E5A9054D879F4BE4AD" descr="post_object_image_3362569969"/>
        <xdr:cNvPicPr/>
      </xdr:nvPicPr>
      <xdr:blipFill>
        <a:blip r:embed="rId23"/>
        <a:stretch>
          <a:fillRect/>
        </a:stretch>
      </xdr:blipFill>
      <xdr:spPr>
        <a:xfrm>
          <a:off x="0" y="0"/>
          <a:ext cx="2354580" cy="2621280"/>
        </a:xfrm>
        <a:prstGeom prst="rect">
          <a:avLst/>
        </a:prstGeom>
      </xdr:spPr>
    </xdr:pic>
  </etc:cellImage>
  <etc:cellImage>
    <xdr:pic>
      <xdr:nvPicPr>
        <xdr:cNvPr id="150" name="ID_4DCFDB563F4D46E5BE49A1F7BA9A8B05" descr="post_object_image_2373181835"/>
        <xdr:cNvPicPr/>
      </xdr:nvPicPr>
      <xdr:blipFill>
        <a:blip r:embed="rId24"/>
        <a:stretch>
          <a:fillRect/>
        </a:stretch>
      </xdr:blipFill>
      <xdr:spPr>
        <a:xfrm>
          <a:off x="0" y="0"/>
          <a:ext cx="2270760" cy="2590800"/>
        </a:xfrm>
        <a:prstGeom prst="rect">
          <a:avLst/>
        </a:prstGeom>
      </xdr:spPr>
    </xdr:pic>
  </etc:cellImage>
  <etc:cellImage>
    <xdr:pic>
      <xdr:nvPicPr>
        <xdr:cNvPr id="376" name="ID_6139E98B5157476ABB618541C95F72B9" descr="post_object_image_3493911648"/>
        <xdr:cNvPicPr/>
      </xdr:nvPicPr>
      <xdr:blipFill>
        <a:blip r:embed="rId25"/>
        <a:stretch>
          <a:fillRect/>
        </a:stretch>
      </xdr:blipFill>
      <xdr:spPr>
        <a:xfrm>
          <a:off x="0" y="0"/>
          <a:ext cx="2179320" cy="2560320"/>
        </a:xfrm>
        <a:prstGeom prst="rect">
          <a:avLst/>
        </a:prstGeom>
      </xdr:spPr>
    </xdr:pic>
  </etc:cellImage>
  <etc:cellImage>
    <xdr:pic>
      <xdr:nvPicPr>
        <xdr:cNvPr id="205" name="ID_2F53490A483445458B3A8EC0EC1E6A15" descr="post_object_image_238960541"/>
        <xdr:cNvPicPr/>
      </xdr:nvPicPr>
      <xdr:blipFill>
        <a:blip r:embed="rId26"/>
        <a:stretch>
          <a:fillRect/>
        </a:stretch>
      </xdr:blipFill>
      <xdr:spPr>
        <a:xfrm>
          <a:off x="0" y="0"/>
          <a:ext cx="2217420" cy="2476500"/>
        </a:xfrm>
        <a:prstGeom prst="rect">
          <a:avLst/>
        </a:prstGeom>
      </xdr:spPr>
    </xdr:pic>
  </etc:cellImage>
  <etc:cellImage>
    <xdr:pic>
      <xdr:nvPicPr>
        <xdr:cNvPr id="576" name="ID_6E77675DB2E547519B759F840C2F8622" descr="post_object_image_595829394"/>
        <xdr:cNvPicPr/>
      </xdr:nvPicPr>
      <xdr:blipFill>
        <a:blip r:embed="rId27"/>
        <a:stretch>
          <a:fillRect/>
        </a:stretch>
      </xdr:blipFill>
      <xdr:spPr>
        <a:xfrm>
          <a:off x="0" y="0"/>
          <a:ext cx="2324100" cy="2560320"/>
        </a:xfrm>
        <a:prstGeom prst="rect">
          <a:avLst/>
        </a:prstGeom>
      </xdr:spPr>
    </xdr:pic>
  </etc:cellImage>
  <etc:cellImage>
    <xdr:pic>
      <xdr:nvPicPr>
        <xdr:cNvPr id="290" name="ID_2975A69F268042BA9A8F2130D020851E" descr="post_object_image_29006131"/>
        <xdr:cNvPicPr/>
      </xdr:nvPicPr>
      <xdr:blipFill>
        <a:blip r:embed="rId28"/>
        <a:stretch>
          <a:fillRect/>
        </a:stretch>
      </xdr:blipFill>
      <xdr:spPr>
        <a:xfrm>
          <a:off x="0" y="0"/>
          <a:ext cx="2278380" cy="256032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<sst xmlns="http://schemas.openxmlformats.org/spreadsheetml/2006/main" count="207" uniqueCount="106">
  <si>
    <t>客户名称</t>
  </si>
  <si>
    <t>地区</t>
  </si>
  <si>
    <t>socks5</t>
  </si>
  <si>
    <t>IP名称</t>
  </si>
  <si>
    <t>到期时间</t>
  </si>
  <si>
    <t>业务归属</t>
  </si>
  <si>
    <t>IP归属</t>
  </si>
  <si>
    <t>二维码</t>
  </si>
  <si>
    <t>轻语</t>
  </si>
  <si>
    <t>巴西</t>
  </si>
  <si>
    <t>200.234.165.249:34768:5A2jzDA200234165249A34768:3xwGBkGxGnQV</t>
  </si>
  <si>
    <t>轻语-巴西-200.234.165.249</t>
  </si>
  <si>
    <t>3.26到期</t>
  </si>
  <si>
    <t>陈小同</t>
  </si>
  <si>
    <t>斯帕克</t>
  </si>
  <si>
    <t>我会走狗屎运</t>
  </si>
  <si>
    <t>墨西哥</t>
  </si>
  <si>
    <t>154.197.90.154:9263:y7T1j0B6e5K1:D9s1X9D2q5Z3</t>
  </si>
  <si>
    <t>我会走狗屎运-墨西哥-154.197.90.154</t>
  </si>
  <si>
    <t>4.26到期</t>
  </si>
  <si>
    <t>涛哥</t>
  </si>
  <si>
    <t>109.107.51.8:8950:f1n6V8R5X9e6:R1d6x6V8h1B6</t>
  </si>
  <si>
    <t>涛哥-墨西哥-109.107.51.8</t>
  </si>
  <si>
    <t>3.29到期</t>
  </si>
  <si>
    <t>109.107.51.154:8950:h1Q4i2Y9d4m3:y0s1s9P3Z1V0</t>
  </si>
  <si>
    <t>涛哥-墨西哥-109.107.51.154</t>
  </si>
  <si>
    <t>23.26.196.124:8950:s3P7p9G3N1f7:S7s0M4H5P3t8</t>
  </si>
  <si>
    <t>涛哥-墨西哥-23.26.196.124</t>
  </si>
  <si>
    <t>154.197.127.246:9729:e3d3i2W9Y9c6:c9z7m6J0z6f9</t>
  </si>
  <si>
    <t>涛哥-墨西哥-154.197.127.246</t>
  </si>
  <si>
    <t>154.197.127.236:9729:F1I3v3a0D8A1:T6X9Y2b5w6j9</t>
  </si>
  <si>
    <t>涛哥-墨西哥-154.197.127.236</t>
  </si>
  <si>
    <t>109.107.51.58:8950:U2K6B7A7P1B1:A5Q0l9j0p1v3</t>
  </si>
  <si>
    <t>涛哥-墨西哥-109.107.51.58</t>
  </si>
  <si>
    <t>x墨西哥橱窗</t>
  </si>
  <si>
    <t>45.170.250.71:1337:o2bm7bjn567x:77wsghh1zv6s</t>
  </si>
  <si>
    <t>墨西哥-45.170.250.71</t>
  </si>
  <si>
    <t>4.2到期</t>
  </si>
  <si>
    <t>木子</t>
  </si>
  <si>
    <t>45.170.249.155:1337:fc36d6oyb25o:egyx0d31ym08</t>
  </si>
  <si>
    <t>涛哥-墨西哥-45.170.249.155</t>
  </si>
  <si>
    <t>4.8到期</t>
  </si>
  <si>
    <t>45.170.250.3:1337:b36iajrcwgnj:ukd3brh1iliz</t>
  </si>
  <si>
    <t>涛哥-墨西哥-45.170.250.3</t>
  </si>
  <si>
    <t>LANA</t>
  </si>
  <si>
    <t>45.170.250.65:1337:0rgpd1qrqx0y:2c2346lhj12m</t>
  </si>
  <si>
    <t>LANA-墨西哥-45.170.250.65</t>
  </si>
  <si>
    <t>5.8到期</t>
  </si>
  <si>
    <t>耐捷</t>
  </si>
  <si>
    <t>200.36.3.69:41800:5A2rG1A20036369A41800:RqbiE8Tigw1U</t>
  </si>
  <si>
    <t>耐捷003-墨西哥-200.36.3.69</t>
  </si>
  <si>
    <t>4.21到期</t>
  </si>
  <si>
    <t>孟洋</t>
  </si>
  <si>
    <t>要早睡</t>
  </si>
  <si>
    <t>109.107.51.76:8950:M3x7I9Y8O8v6:N2b7a6q1o5Q7</t>
  </si>
  <si>
    <t>要早睡-墨西哥-109.107.51.76</t>
  </si>
  <si>
    <t>6.8到期</t>
  </si>
  <si>
    <t>Avon</t>
  </si>
  <si>
    <t>印尼</t>
  </si>
  <si>
    <t>110.44.172.100:7778:L0a5C8G1v5R8:g6W7V4n6m7w8</t>
  </si>
  <si>
    <t>印尼-110.44.172.100</t>
  </si>
  <si>
    <t>4.11到期</t>
  </si>
  <si>
    <t>X.墨西哥橱窗</t>
  </si>
  <si>
    <t>45.170.250.74:1337:q8asd4zxoknx:8cen9mwhzuzb</t>
  </si>
  <si>
    <t>墨西哥-45.170.250.74</t>
  </si>
  <si>
    <t>景笙传媒</t>
  </si>
  <si>
    <t>200.234.165.250:43424:5A2praA200234165250A43424:mo6ZWmMo5fth</t>
  </si>
  <si>
    <t>巴西-200.234.165.250</t>
  </si>
  <si>
    <t>4.15到期</t>
  </si>
  <si>
    <t>guard</t>
  </si>
  <si>
    <t>200.36.3.145:37929:5A2rc6A200363145A37929:JBcRJKVR5d0D</t>
  </si>
  <si>
    <t>guard-墨西哥-200.36.3.145</t>
  </si>
  <si>
    <t>4.23到期</t>
  </si>
  <si>
    <t>向</t>
  </si>
  <si>
    <t>美国</t>
  </si>
  <si>
    <t>149.119.143.8:35240:5A2reqA1491191438A35240:V4UnkV14j0ho</t>
  </si>
  <si>
    <t>向-美国-149.119.143.8</t>
  </si>
  <si>
    <t>dmit1cn2</t>
  </si>
  <si>
    <t>河南祥鼎</t>
  </si>
  <si>
    <t>149.119.132.72:37086:5A2s91A14911913272A37086:Tz2w4BqULFZK</t>
  </si>
  <si>
    <t>河南祥鼎-美国-149.119.132.72</t>
  </si>
  <si>
    <t>4.25到期</t>
  </si>
  <si>
    <t>张波</t>
  </si>
  <si>
    <t>149.119.172.127:42186:5A2sBeA149119172127A42186:7Y38jifBljc4</t>
  </si>
  <si>
    <t>张波-美国-149.119.172.127</t>
  </si>
  <si>
    <t>149.119.172.168:49011:5A2sBfA149119172168A49011:JqJcWpv37jf8</t>
  </si>
  <si>
    <t>张波-美国-149.119.172.168</t>
  </si>
  <si>
    <t>王果果</t>
  </si>
  <si>
    <t>204.141.251.212:34653:5A2k4VA204141251212A34653:t2brJRA1G5wn</t>
  </si>
  <si>
    <t>王果果-美国-204.141.251.212</t>
  </si>
  <si>
    <t>X</t>
  </si>
  <si>
    <t>200.36.3.99:34171:5A2si8A20036399A34171:ybIi89RrR67A</t>
  </si>
  <si>
    <t>X-墨西哥-200.36.3.99</t>
  </si>
  <si>
    <t>4.27到期</t>
  </si>
  <si>
    <t>乡间浪人</t>
  </si>
  <si>
    <t>200.36.3.214:33856:5A2sk8A200363214A33856:Gw2ULw5Uz9zy</t>
  </si>
  <si>
    <t>墨西哥-200.36.3.214</t>
  </si>
  <si>
    <t>200.36.3.175:47835:5A2sk9A200363175A47835:ISWUrZxcTM6c</t>
  </si>
  <si>
    <t>墨西哥-200.36.3.175</t>
  </si>
  <si>
    <t xml:space="preserve">200.36.3.237:45775:5A2t2zA200363237A45775:4ppMhzlkSBFv
</t>
  </si>
  <si>
    <t>墨西哥-200.36.3.237</t>
  </si>
  <si>
    <t>4.29到期</t>
  </si>
  <si>
    <t>Wayfarer</t>
  </si>
  <si>
    <t>200.234.165.9:31898:5A2t9oA2002341659A31898:2T8tAZSW5wTu</t>
  </si>
  <si>
    <t>巴西-200.234.165.9</t>
  </si>
  <si>
    <t>王璟琦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</si>
</sst>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0" xfId="0" applyFont="1">
      <alignment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 wrapText="1"/>
    </xf>
    <xf numFmtId="0" fontId="0" fillId="0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8" Type="http://schemas.openxmlformats.org/officeDocument/2006/relationships/image" Target="media/image28.png"/><Relationship Id="rId27" Type="http://schemas.openxmlformats.org/officeDocument/2006/relationships/image" Target="media/image27.png"/><Relationship Id="rId26" Type="http://schemas.openxmlformats.org/officeDocument/2006/relationships/image" Target="media/image26.png"/><Relationship Id="rId25" Type="http://schemas.openxmlformats.org/officeDocument/2006/relationships/image" Target="media/image25.png"/><Relationship Id="rId24" Type="http://schemas.openxmlformats.org/officeDocument/2006/relationships/image" Target="media/image24.png"/><Relationship Id="rId23" Type="http://schemas.openxmlformats.org/officeDocument/2006/relationships/image" Target="media/image23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png"/><Relationship Id="rId2" Type="http://schemas.openxmlformats.org/officeDocument/2006/relationships/image" Target="media/image2.jpe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jpe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228600</xdr:colOff>
      <xdr:row>14</xdr:row>
      <xdr:rowOff>114300</xdr:rowOff>
    </xdr:to>
    <xdr:pic>
      <xdr:nvPicPr>
        <xdr:cNvPr id="646" name="ID_4A532F83D2A84AE3A57FEFB2894F6261" descr="post_object_image_3962291254"/>
        <xdr:cNvPicPr/>
      </xdr:nvPicPr>
      <xdr:blipFill>
        <a:blip r:embed="rId1"/>
        <a:stretch>
          <a:fillRect/>
        </a:stretch>
      </xdr:blipFill>
      <xdr:spPr>
        <a:xfrm>
          <a:off x="0" y="0"/>
          <a:ext cx="2286000" cy="2514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158115</xdr:colOff>
      <xdr:row>15</xdr:row>
      <xdr:rowOff>83820</xdr:rowOff>
    </xdr:to>
    <xdr:pic>
      <xdr:nvPicPr>
        <xdr:cNvPr id="629" name="ID_1D382C0ABD5C42599112E51B6D3E19A2" descr="post_object_image_1655235219"/>
        <xdr:cNvPicPr/>
      </xdr:nvPicPr>
      <xdr:blipFill>
        <a:blip r:embed="rId2"/>
        <a:stretch>
          <a:fillRect/>
        </a:stretch>
      </xdr:blipFill>
      <xdr:spPr>
        <a:xfrm>
          <a:off x="0" y="0"/>
          <a:ext cx="2215515" cy="26555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304800</xdr:colOff>
      <xdr:row>14</xdr:row>
      <xdr:rowOff>106680</xdr:rowOff>
    </xdr:to>
    <xdr:pic>
      <xdr:nvPicPr>
        <xdr:cNvPr id="107" name="ID_0718542A167E49928848EE001524CDA8" descr="post_object_image_1914117274"/>
        <xdr:cNvPicPr/>
      </xdr:nvPicPr>
      <xdr:blipFill>
        <a:blip r:embed="rId3"/>
        <a:stretch>
          <a:fillRect/>
        </a:stretch>
      </xdr:blipFill>
      <xdr:spPr>
        <a:xfrm>
          <a:off x="0" y="0"/>
          <a:ext cx="2362200" cy="25069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198120</xdr:colOff>
      <xdr:row>14</xdr:row>
      <xdr:rowOff>114300</xdr:rowOff>
    </xdr:to>
    <xdr:pic>
      <xdr:nvPicPr>
        <xdr:cNvPr id="545" name="ID_6599D147C9434A4E90E144737AAF0667" descr="post_object_image_4049780632"/>
        <xdr:cNvPicPr/>
      </xdr:nvPicPr>
      <xdr:blipFill>
        <a:blip r:embed="rId4"/>
        <a:stretch>
          <a:fillRect/>
        </a:stretch>
      </xdr:blipFill>
      <xdr:spPr>
        <a:xfrm>
          <a:off x="0" y="0"/>
          <a:ext cx="2255520" cy="2514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121920</xdr:colOff>
      <xdr:row>14</xdr:row>
      <xdr:rowOff>83820</xdr:rowOff>
    </xdr:to>
    <xdr:pic>
      <xdr:nvPicPr>
        <xdr:cNvPr id="387" name="ID_322BB7CC772A4AA695D9B5A65321A7F8" descr="post_object_image_1316521234"/>
        <xdr:cNvPicPr/>
      </xdr:nvPicPr>
      <xdr:blipFill>
        <a:blip r:embed="rId5"/>
        <a:stretch>
          <a:fillRect/>
        </a:stretch>
      </xdr:blipFill>
      <xdr:spPr>
        <a:xfrm>
          <a:off x="0" y="0"/>
          <a:ext cx="2179320" cy="24841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182880</xdr:colOff>
      <xdr:row>14</xdr:row>
      <xdr:rowOff>114300</xdr:rowOff>
    </xdr:to>
    <xdr:pic>
      <xdr:nvPicPr>
        <xdr:cNvPr id="542" name="ID_9A5E35D3307D497BAF8B1E1EDAD0FA8F" descr="post_object_image_2996888641"/>
        <xdr:cNvPicPr/>
      </xdr:nvPicPr>
      <xdr:blipFill>
        <a:blip r:embed="rId6"/>
        <a:stretch>
          <a:fillRect/>
        </a:stretch>
      </xdr:blipFill>
      <xdr:spPr>
        <a:xfrm>
          <a:off x="0" y="0"/>
          <a:ext cx="2240280" cy="2514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640080</xdr:colOff>
      <xdr:row>18</xdr:row>
      <xdr:rowOff>68580</xdr:rowOff>
    </xdr:to>
    <xdr:pic>
      <xdr:nvPicPr>
        <xdr:cNvPr id="173" name="ID_4433A03A8BEA4ADF9BE5EB3569B20100" descr="post_object_image_3105736987"/>
        <xdr:cNvPicPr/>
      </xdr:nvPicPr>
      <xdr:blipFill>
        <a:blip r:embed="rId7"/>
        <a:stretch>
          <a:fillRect/>
        </a:stretch>
      </xdr:blipFill>
      <xdr:spPr>
        <a:xfrm>
          <a:off x="0" y="0"/>
          <a:ext cx="3383280" cy="31546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114300</xdr:colOff>
      <xdr:row>14</xdr:row>
      <xdr:rowOff>144780</xdr:rowOff>
    </xdr:to>
    <xdr:pic>
      <xdr:nvPicPr>
        <xdr:cNvPr id="65" name="ID_597DB8E102694F289E1EDE37B7308685" descr="post_object_image_1009278670"/>
        <xdr:cNvPicPr/>
      </xdr:nvPicPr>
      <xdr:blipFill>
        <a:blip r:embed="rId8"/>
        <a:stretch>
          <a:fillRect/>
        </a:stretch>
      </xdr:blipFill>
      <xdr:spPr>
        <a:xfrm>
          <a:off x="0" y="0"/>
          <a:ext cx="2171700" cy="25450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198120</xdr:colOff>
      <xdr:row>14</xdr:row>
      <xdr:rowOff>114300</xdr:rowOff>
    </xdr:to>
    <xdr:pic>
      <xdr:nvPicPr>
        <xdr:cNvPr id="544" name="ID_8E4CC2831EB64CD7AB3BD1160A1FC75F" descr="post_object_image_725754084"/>
        <xdr:cNvPicPr/>
      </xdr:nvPicPr>
      <xdr:blipFill>
        <a:blip r:embed="rId9"/>
        <a:stretch>
          <a:fillRect/>
        </a:stretch>
      </xdr:blipFill>
      <xdr:spPr>
        <a:xfrm>
          <a:off x="0" y="0"/>
          <a:ext cx="2255520" cy="2514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160020</xdr:colOff>
      <xdr:row>14</xdr:row>
      <xdr:rowOff>83820</xdr:rowOff>
    </xdr:to>
    <xdr:pic>
      <xdr:nvPicPr>
        <xdr:cNvPr id="67" name="ID_AE4EE246C4624D589E0FA6B9E1135C90" descr="post_object_image_1942190333"/>
        <xdr:cNvPicPr/>
      </xdr:nvPicPr>
      <xdr:blipFill>
        <a:blip r:embed="rId10"/>
        <a:stretch>
          <a:fillRect/>
        </a:stretch>
      </xdr:blipFill>
      <xdr:spPr>
        <a:xfrm>
          <a:off x="0" y="0"/>
          <a:ext cx="2217420" cy="24841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266700</xdr:colOff>
      <xdr:row>15</xdr:row>
      <xdr:rowOff>3810</xdr:rowOff>
    </xdr:to>
    <xdr:pic>
      <xdr:nvPicPr>
        <xdr:cNvPr id="172" name="ID_AAABCF9C0935445E86CA7D3FF8AF2F45" descr="post_object_image_9175417"/>
        <xdr:cNvPicPr/>
      </xdr:nvPicPr>
      <xdr:blipFill>
        <a:blip r:embed="rId11"/>
        <a:stretch>
          <a:fillRect/>
        </a:stretch>
      </xdr:blipFill>
      <xdr:spPr>
        <a:xfrm>
          <a:off x="0" y="0"/>
          <a:ext cx="2324100" cy="2575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137160</xdr:colOff>
      <xdr:row>14</xdr:row>
      <xdr:rowOff>83820</xdr:rowOff>
    </xdr:to>
    <xdr:pic>
      <xdr:nvPicPr>
        <xdr:cNvPr id="12" name="ID_83E31D5C1EB24667ACCE592FFF6BE00C" descr="post_object_image_547419895"/>
        <xdr:cNvPicPr/>
      </xdr:nvPicPr>
      <xdr:blipFill>
        <a:blip r:embed="rId12"/>
        <a:stretch>
          <a:fillRect/>
        </a:stretch>
      </xdr:blipFill>
      <xdr:spPr>
        <a:xfrm>
          <a:off x="0" y="0"/>
          <a:ext cx="2194560" cy="24841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14</xdr:row>
      <xdr:rowOff>99060</xdr:rowOff>
    </xdr:to>
    <xdr:pic>
      <xdr:nvPicPr>
        <xdr:cNvPr id="174" name="ID_810E02C99B964E9394FFAA90A1648B97" descr="post_object_image_903793726"/>
        <xdr:cNvPicPr/>
      </xdr:nvPicPr>
      <xdr:blipFill>
        <a:blip r:embed="rId13"/>
        <a:stretch>
          <a:fillRect/>
        </a:stretch>
      </xdr:blipFill>
      <xdr:spPr>
        <a:xfrm>
          <a:off x="0" y="0"/>
          <a:ext cx="2209800" cy="24993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114300</xdr:colOff>
      <xdr:row>14</xdr:row>
      <xdr:rowOff>38100</xdr:rowOff>
    </xdr:to>
    <xdr:pic>
      <xdr:nvPicPr>
        <xdr:cNvPr id="136" name="ID_5966C33D60434930928F95428FAF776B" descr="post_object_image_3464347537"/>
        <xdr:cNvPicPr/>
      </xdr:nvPicPr>
      <xdr:blipFill>
        <a:blip r:embed="rId14"/>
        <a:stretch>
          <a:fillRect/>
        </a:stretch>
      </xdr:blipFill>
      <xdr:spPr>
        <a:xfrm>
          <a:off x="0" y="0"/>
          <a:ext cx="2171700" cy="243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160020</xdr:colOff>
      <xdr:row>14</xdr:row>
      <xdr:rowOff>160020</xdr:rowOff>
    </xdr:to>
    <xdr:pic>
      <xdr:nvPicPr>
        <xdr:cNvPr id="183" name="ID_08486E1AA36C45FE9DC1967D57CE5AE6" descr="post_object_image_2431021445"/>
        <xdr:cNvPicPr/>
      </xdr:nvPicPr>
      <xdr:blipFill>
        <a:blip r:embed="rId15"/>
        <a:stretch>
          <a:fillRect/>
        </a:stretch>
      </xdr:blipFill>
      <xdr:spPr>
        <a:xfrm>
          <a:off x="0" y="0"/>
          <a:ext cx="2217420" cy="25603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121920</xdr:colOff>
      <xdr:row>14</xdr:row>
      <xdr:rowOff>114300</xdr:rowOff>
    </xdr:to>
    <xdr:pic>
      <xdr:nvPicPr>
        <xdr:cNvPr id="202" name="ID_7CD299CF9143402E9DCD6CA73070837E" descr="post_object_image_3017004139"/>
        <xdr:cNvPicPr/>
      </xdr:nvPicPr>
      <xdr:blipFill>
        <a:blip r:embed="rId16"/>
        <a:stretch>
          <a:fillRect/>
        </a:stretch>
      </xdr:blipFill>
      <xdr:spPr>
        <a:xfrm>
          <a:off x="0" y="0"/>
          <a:ext cx="2179320" cy="2514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259080</xdr:colOff>
      <xdr:row>14</xdr:row>
      <xdr:rowOff>106680</xdr:rowOff>
    </xdr:to>
    <xdr:pic>
      <xdr:nvPicPr>
        <xdr:cNvPr id="602" name="ID_98EFD791D0F746558779A139B06DA76D" descr="post_object_image_470112962"/>
        <xdr:cNvPicPr/>
      </xdr:nvPicPr>
      <xdr:blipFill>
        <a:blip r:embed="rId17"/>
        <a:stretch>
          <a:fillRect/>
        </a:stretch>
      </xdr:blipFill>
      <xdr:spPr>
        <a:xfrm>
          <a:off x="0" y="0"/>
          <a:ext cx="2316480" cy="25069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106680</xdr:colOff>
      <xdr:row>14</xdr:row>
      <xdr:rowOff>76200</xdr:rowOff>
    </xdr:to>
    <xdr:pic>
      <xdr:nvPicPr>
        <xdr:cNvPr id="206" name="ID_E7E137304E9E4A729A540352F352A19F" descr="post_object_image_102204342"/>
        <xdr:cNvPicPr/>
      </xdr:nvPicPr>
      <xdr:blipFill>
        <a:blip r:embed="rId18"/>
        <a:stretch>
          <a:fillRect/>
        </a:stretch>
      </xdr:blipFill>
      <xdr:spPr>
        <a:xfrm>
          <a:off x="0" y="0"/>
          <a:ext cx="2164080" cy="2476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121920</xdr:colOff>
      <xdr:row>14</xdr:row>
      <xdr:rowOff>137160</xdr:rowOff>
    </xdr:to>
    <xdr:pic>
      <xdr:nvPicPr>
        <xdr:cNvPr id="194" name="ID_182342D2F83B4C57A8F3DB1CFCDD42D2" descr="post_object_image_2015440771"/>
        <xdr:cNvPicPr/>
      </xdr:nvPicPr>
      <xdr:blipFill>
        <a:blip r:embed="rId19"/>
        <a:stretch>
          <a:fillRect/>
        </a:stretch>
      </xdr:blipFill>
      <xdr:spPr>
        <a:xfrm>
          <a:off x="0" y="0"/>
          <a:ext cx="2179320" cy="25374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83820</xdr:colOff>
      <xdr:row>14</xdr:row>
      <xdr:rowOff>68580</xdr:rowOff>
    </xdr:to>
    <xdr:pic>
      <xdr:nvPicPr>
        <xdr:cNvPr id="209" name="ID_252CD4B5F2ED4342878889C24791399F" descr="post_object_image_4029879809"/>
        <xdr:cNvPicPr/>
      </xdr:nvPicPr>
      <xdr:blipFill>
        <a:blip r:embed="rId20"/>
        <a:stretch>
          <a:fillRect/>
        </a:stretch>
      </xdr:blipFill>
      <xdr:spPr>
        <a:xfrm>
          <a:off x="0" y="0"/>
          <a:ext cx="2141220" cy="24688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182880</xdr:colOff>
      <xdr:row>14</xdr:row>
      <xdr:rowOff>137160</xdr:rowOff>
    </xdr:to>
    <xdr:pic>
      <xdr:nvPicPr>
        <xdr:cNvPr id="95" name="ID_3223FCECD69E447FA62C45D1AD941B59" descr="post_object_image_3631429878"/>
        <xdr:cNvPicPr/>
      </xdr:nvPicPr>
      <xdr:blipFill>
        <a:blip r:embed="rId21"/>
        <a:stretch>
          <a:fillRect/>
        </a:stretch>
      </xdr:blipFill>
      <xdr:spPr>
        <a:xfrm>
          <a:off x="0" y="0"/>
          <a:ext cx="2240280" cy="25374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30480</xdr:colOff>
      <xdr:row>18</xdr:row>
      <xdr:rowOff>152400</xdr:rowOff>
    </xdr:to>
    <xdr:pic>
      <xdr:nvPicPr>
        <xdr:cNvPr id="365" name="ID_A64B83B9D822430292C836D1E0B4C67A" descr="post_object_image_1911524373"/>
        <xdr:cNvPicPr/>
      </xdr:nvPicPr>
      <xdr:blipFill>
        <a:blip r:embed="rId22"/>
        <a:stretch>
          <a:fillRect/>
        </a:stretch>
      </xdr:blipFill>
      <xdr:spPr>
        <a:xfrm>
          <a:off x="0" y="0"/>
          <a:ext cx="3459480" cy="3238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297180</xdr:colOff>
      <xdr:row>15</xdr:row>
      <xdr:rowOff>49530</xdr:rowOff>
    </xdr:to>
    <xdr:pic>
      <xdr:nvPicPr>
        <xdr:cNvPr id="114" name="ID_82EE4D6B83E847E5A9054D879F4BE4AD" descr="post_object_image_3362569969"/>
        <xdr:cNvPicPr/>
      </xdr:nvPicPr>
      <xdr:blipFill>
        <a:blip r:embed="rId23"/>
        <a:stretch>
          <a:fillRect/>
        </a:stretch>
      </xdr:blipFill>
      <xdr:spPr>
        <a:xfrm>
          <a:off x="0" y="0"/>
          <a:ext cx="2354580" cy="26212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213360</xdr:colOff>
      <xdr:row>15</xdr:row>
      <xdr:rowOff>19050</xdr:rowOff>
    </xdr:to>
    <xdr:pic>
      <xdr:nvPicPr>
        <xdr:cNvPr id="150" name="ID_4DCFDB563F4D46E5BE49A1F7BA9A8B05" descr="post_object_image_2373181835"/>
        <xdr:cNvPicPr/>
      </xdr:nvPicPr>
      <xdr:blipFill>
        <a:blip r:embed="rId24"/>
        <a:stretch>
          <a:fillRect/>
        </a:stretch>
      </xdr:blipFill>
      <xdr:spPr>
        <a:xfrm>
          <a:off x="0" y="0"/>
          <a:ext cx="2270760" cy="2590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121920</xdr:colOff>
      <xdr:row>14</xdr:row>
      <xdr:rowOff>160020</xdr:rowOff>
    </xdr:to>
    <xdr:pic>
      <xdr:nvPicPr>
        <xdr:cNvPr id="376" name="ID_6139E98B5157476ABB618541C95F72B9" descr="post_object_image_3493911648"/>
        <xdr:cNvPicPr/>
      </xdr:nvPicPr>
      <xdr:blipFill>
        <a:blip r:embed="rId25"/>
        <a:stretch>
          <a:fillRect/>
        </a:stretch>
      </xdr:blipFill>
      <xdr:spPr>
        <a:xfrm>
          <a:off x="0" y="0"/>
          <a:ext cx="2179320" cy="25603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160020</xdr:colOff>
      <xdr:row>14</xdr:row>
      <xdr:rowOff>76200</xdr:rowOff>
    </xdr:to>
    <xdr:pic>
      <xdr:nvPicPr>
        <xdr:cNvPr id="205" name="ID_2F53490A483445458B3A8EC0EC1E6A15" descr="post_object_image_238960541"/>
        <xdr:cNvPicPr/>
      </xdr:nvPicPr>
      <xdr:blipFill>
        <a:blip r:embed="rId26"/>
        <a:stretch>
          <a:fillRect/>
        </a:stretch>
      </xdr:blipFill>
      <xdr:spPr>
        <a:xfrm>
          <a:off x="0" y="0"/>
          <a:ext cx="2217420" cy="2476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266700</xdr:colOff>
      <xdr:row>14</xdr:row>
      <xdr:rowOff>160020</xdr:rowOff>
    </xdr:to>
    <xdr:pic>
      <xdr:nvPicPr>
        <xdr:cNvPr id="576" name="ID_6E77675DB2E547519B759F840C2F8622" descr="post_object_image_595829394"/>
        <xdr:cNvPicPr/>
      </xdr:nvPicPr>
      <xdr:blipFill>
        <a:blip r:embed="rId27"/>
        <a:stretch>
          <a:fillRect/>
        </a:stretch>
      </xdr:blipFill>
      <xdr:spPr>
        <a:xfrm>
          <a:off x="0" y="0"/>
          <a:ext cx="2324100" cy="25603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220980</xdr:colOff>
      <xdr:row>14</xdr:row>
      <xdr:rowOff>160020</xdr:rowOff>
    </xdr:to>
    <xdr:pic>
      <xdr:nvPicPr>
        <xdr:cNvPr id="290" name="ID_2975A69F268042BA9A8F2130D020851E" descr="post_object_image_29006131"/>
        <xdr:cNvPicPr/>
      </xdr:nvPicPr>
      <xdr:blipFill>
        <a:blip r:embed="rId28"/>
        <a:stretch>
          <a:fillRect/>
        </a:stretch>
      </xdr:blipFill>
      <xdr:spPr>
        <a:xfrm>
          <a:off x="0" y="0"/>
          <a:ext cx="2278380" cy="2560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workbookViewId="0">
      <selection activeCell="A1" sqref="A1"/>
    </sheetView>
  </sheetViews>
  <sheetFormatPr defaultColWidth="8.89166666666667" defaultRowHeight="13.5"/>
  <cols>
    <col min="1" max="1" width="18.775" customWidth="1"/>
    <col min="2" max="2" width="13.8" customWidth="1"/>
    <col min="3" max="3" width="68.55" customWidth="1"/>
    <col min="4" max="4" width="30.375" customWidth="1"/>
    <col min="5" max="5" width="18.675" customWidth="1"/>
    <col min="6" max="6" width="16.275" customWidth="1"/>
    <col min="7" max="7" width="14.4" customWidth="1"/>
    <col min="10" max="10" width="7" customWidth="1"/>
  </cols>
  <sheetData>
    <row r="1" ht="14.25" spans="1:1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/>
      <c r="J1" s="6"/>
    </row>
    <row r="2" ht="62.1" spans="1:10">
      <c r="A2" s="7" t="s">
        <v>8</v>
      </c>
      <c r="B2" s="7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7" t="str">
        <f>_xlfn.DISPIMG("ID_597DB8E102694F289E1EDE37B7308685",1)</f>
        <v>=DISPIMG("ID_597DB8E102694F289E1EDE37B7308685",1)</v>
      </c>
      <c r="I2" s="8"/>
    </row>
    <row r="3" ht="59.45" spans="1:10">
      <c r="A3" s="5" t="s">
        <v>15</v>
      </c>
      <c r="B3" s="9" t="s">
        <v>16</v>
      </c>
      <c r="C3" s="5" t="s">
        <v>17</v>
      </c>
      <c r="D3" s="9" t="s">
        <v>18</v>
      </c>
      <c r="E3" s="9" t="s">
        <v>19</v>
      </c>
      <c r="F3" s="9" t="s">
        <v>13</v>
      </c>
      <c r="G3" s="9" t="s">
        <v>20</v>
      </c>
      <c r="H3" s="5" t="str">
        <f>_xlfn.DISPIMG("ID_AE4EE246C4624D589E0FA6B9E1135C90",1)</f>
        <v>=DISPIMG("ID_AE4EE246C4624D589E0FA6B9E1135C90",1)</v>
      </c>
      <c r="I3" s="5"/>
    </row>
    <row r="4" ht="58.85" spans="1:10">
      <c r="A4" s="10" t="s">
        <v>20</v>
      </c>
      <c r="B4" s="10" t="s">
        <v>16</v>
      </c>
      <c r="C4" s="11" t="s">
        <v>21</v>
      </c>
      <c r="D4" s="10" t="s">
        <v>22</v>
      </c>
      <c r="E4" s="10" t="s">
        <v>23</v>
      </c>
      <c r="F4" s="10" t="s">
        <v>13</v>
      </c>
      <c r="G4" s="10" t="s">
        <v>20</v>
      </c>
      <c r="H4" s="11" t="str">
        <f>_xlfn.DISPIMG("ID_AAABCF9C0935445E86CA7D3FF8AF2F45",1)</f>
        <v>=DISPIMG("ID_AAABCF9C0935445E86CA7D3FF8AF2F45",1)</v>
      </c>
      <c r="I4" s="11"/>
    </row>
    <row r="5" ht="60" spans="1:10">
      <c r="A5" s="10" t="s">
        <v>20</v>
      </c>
      <c r="B5" s="10" t="s">
        <v>16</v>
      </c>
      <c r="C5" s="11" t="s">
        <v>24</v>
      </c>
      <c r="D5" s="10" t="s">
        <v>25</v>
      </c>
      <c r="E5" s="10" t="s">
        <v>23</v>
      </c>
      <c r="F5" s="10" t="s">
        <v>13</v>
      </c>
      <c r="G5" s="10" t="s">
        <v>20</v>
      </c>
      <c r="H5" s="11" t="str">
        <f>_xlfn.DISPIMG("ID_810E02C99B964E9394FFAA90A1648B97",1)</f>
        <v>=DISPIMG("ID_810E02C99B964E9394FFAA90A1648B97",1)</v>
      </c>
      <c r="I5" s="11"/>
    </row>
    <row r="6" ht="61.25" spans="1:10">
      <c r="A6" s="10" t="s">
        <v>20</v>
      </c>
      <c r="B6" s="10" t="s">
        <v>16</v>
      </c>
      <c r="C6" s="11" t="s">
        <v>26</v>
      </c>
      <c r="D6" s="10" t="s">
        <v>27</v>
      </c>
      <c r="E6" s="10" t="s">
        <v>23</v>
      </c>
      <c r="F6" s="10" t="s">
        <v>13</v>
      </c>
      <c r="G6" s="10" t="s">
        <v>20</v>
      </c>
      <c r="H6" s="11" t="str">
        <f>_xlfn.DISPIMG("ID_08486E1AA36C45FE9DC1967D57CE5AE6",1)</f>
        <v>=DISPIMG("ID_08486E1AA36C45FE9DC1967D57CE5AE6",1)</v>
      </c>
      <c r="I6" s="11"/>
    </row>
    <row r="7" ht="61.2" spans="1:10">
      <c r="A7" s="10" t="s">
        <v>20</v>
      </c>
      <c r="B7" s="10" t="s">
        <v>16</v>
      </c>
      <c r="C7" s="11" t="s">
        <v>28</v>
      </c>
      <c r="D7" s="10" t="s">
        <v>29</v>
      </c>
      <c r="E7" s="10" t="s">
        <v>23</v>
      </c>
      <c r="F7" s="10" t="s">
        <v>13</v>
      </c>
      <c r="G7" s="10" t="s">
        <v>20</v>
      </c>
      <c r="H7" s="11" t="str">
        <f>_xlfn.DISPIMG("ID_7CD299CF9143402E9DCD6CA73070837E",1)</f>
        <v>=DISPIMG("ID_7CD299CF9143402E9DCD6CA73070837E",1)</v>
      </c>
      <c r="I7" s="11"/>
    </row>
    <row r="8" ht="60.7" spans="1:10">
      <c r="A8" s="10" t="s">
        <v>20</v>
      </c>
      <c r="B8" s="10" t="s">
        <v>16</v>
      </c>
      <c r="C8" s="11" t="s">
        <v>30</v>
      </c>
      <c r="D8" s="10" t="s">
        <v>31</v>
      </c>
      <c r="E8" s="10" t="s">
        <v>23</v>
      </c>
      <c r="F8" s="10" t="s">
        <v>13</v>
      </c>
      <c r="G8" s="10" t="s">
        <v>20</v>
      </c>
      <c r="H8" s="11" t="str">
        <f>_xlfn.DISPIMG("ID_E7E137304E9E4A729A540352F352A19F",1)</f>
        <v>=DISPIMG("ID_E7E137304E9E4A729A540352F352A19F",1)</v>
      </c>
      <c r="I8" s="11"/>
    </row>
    <row r="9" ht="61.15" spans="1:10">
      <c r="A9" s="10" t="s">
        <v>20</v>
      </c>
      <c r="B9" s="10" t="s">
        <v>16</v>
      </c>
      <c r="C9" s="11" t="s">
        <v>32</v>
      </c>
      <c r="D9" s="10" t="s">
        <v>33</v>
      </c>
      <c r="E9" s="10" t="s">
        <v>23</v>
      </c>
      <c r="F9" s="10" t="s">
        <v>13</v>
      </c>
      <c r="G9" s="10" t="s">
        <v>20</v>
      </c>
      <c r="H9" s="11" t="str">
        <f>_xlfn.DISPIMG("ID_252CD4B5F2ED4342878889C24791399F",1)</f>
        <v>=DISPIMG("ID_252CD4B5F2ED4342878889C24791399F",1)</v>
      </c>
      <c r="I9" s="11"/>
    </row>
    <row r="10" ht="60.1" spans="1:10">
      <c r="A10" s="11" t="s">
        <v>34</v>
      </c>
      <c r="B10" s="10" t="s">
        <v>16</v>
      </c>
      <c r="C10" s="11" t="s">
        <v>35</v>
      </c>
      <c r="D10" s="10" t="s">
        <v>36</v>
      </c>
      <c r="E10" s="10" t="s">
        <v>37</v>
      </c>
      <c r="F10" s="10" t="s">
        <v>13</v>
      </c>
      <c r="G10" s="10" t="s">
        <v>38</v>
      </c>
      <c r="H10" s="11" t="str">
        <f>_xlfn.DISPIMG("ID_3223FCECD69E447FA62C45D1AD941B59",1)</f>
        <v>=DISPIMG("ID_3223FCECD69E447FA62C45D1AD941B59",1)</v>
      </c>
      <c r="I10" s="11"/>
    </row>
    <row r="11" ht="59.1" spans="1:10">
      <c r="A11" s="10" t="s">
        <v>20</v>
      </c>
      <c r="B11" s="10" t="s">
        <v>16</v>
      </c>
      <c r="C11" s="11" t="s">
        <v>39</v>
      </c>
      <c r="D11" s="10" t="s">
        <v>40</v>
      </c>
      <c r="E11" s="10" t="s">
        <v>41</v>
      </c>
      <c r="F11" s="10" t="s">
        <v>13</v>
      </c>
      <c r="G11" s="10" t="s">
        <v>38</v>
      </c>
      <c r="H11" s="11" t="str">
        <f>_xlfn.DISPIMG("ID_82EE4D6B83E847E5A9054D879F4BE4AD",1)</f>
        <v>=DISPIMG("ID_82EE4D6B83E847E5A9054D879F4BE4AD",1)</v>
      </c>
      <c r="I11" s="11"/>
    </row>
    <row r="12" ht="60.55" spans="1:10">
      <c r="A12" s="10" t="s">
        <v>20</v>
      </c>
      <c r="B12" s="10" t="s">
        <v>16</v>
      </c>
      <c r="C12" s="11" t="s">
        <v>42</v>
      </c>
      <c r="D12" s="10" t="s">
        <v>43</v>
      </c>
      <c r="E12" s="10" t="s">
        <v>41</v>
      </c>
      <c r="F12" s="10" t="s">
        <v>13</v>
      </c>
      <c r="G12" s="10" t="s">
        <v>38</v>
      </c>
      <c r="H12" s="11" t="str">
        <f>_xlfn.DISPIMG("ID_4DCFDB563F4D46E5BE49A1F7BA9A8B05",1)</f>
        <v>=DISPIMG("ID_4DCFDB563F4D46E5BE49A1F7BA9A8B05",1)</v>
      </c>
      <c r="I12" s="11"/>
    </row>
    <row r="13" ht="59.3" spans="1:10">
      <c r="A13" s="5" t="s">
        <v>44</v>
      </c>
      <c r="B13" s="9" t="s">
        <v>16</v>
      </c>
      <c r="C13" s="5" t="s">
        <v>45</v>
      </c>
      <c r="D13" s="9" t="s">
        <v>46</v>
      </c>
      <c r="E13" s="9" t="s">
        <v>47</v>
      </c>
      <c r="F13" s="9" t="s">
        <v>13</v>
      </c>
      <c r="G13" s="9" t="s">
        <v>38</v>
      </c>
      <c r="H13" s="5" t="str">
        <f>_xlfn.DISPIMG("ID_2F53490A483445458B3A8EC0EC1E6A15",1)</f>
        <v>=DISPIMG("ID_2F53490A483445458B3A8EC0EC1E6A15",1)</v>
      </c>
      <c r="I13" s="5"/>
    </row>
    <row r="14" ht="59.65" spans="1:10">
      <c r="A14" s="9" t="s">
        <v>48</v>
      </c>
      <c r="B14" s="9" t="s">
        <v>16</v>
      </c>
      <c r="C14" s="5" t="s">
        <v>49</v>
      </c>
      <c r="D14" s="9" t="s">
        <v>50</v>
      </c>
      <c r="E14" s="9" t="s">
        <v>51</v>
      </c>
      <c r="F14" s="9" t="s">
        <v>52</v>
      </c>
      <c r="G14" s="9" t="s">
        <v>14</v>
      </c>
      <c r="H14" s="5" t="str">
        <f>_xlfn.DISPIMG("ID_2975A69F268042BA9A8F2130D020851E",1)</f>
        <v>=DISPIMG("ID_2975A69F268042BA9A8F2130D020851E",1)</v>
      </c>
      <c r="I14" s="5"/>
    </row>
    <row r="15" ht="61.7" spans="1:10">
      <c r="A15" s="9" t="s">
        <v>53</v>
      </c>
      <c r="B15" s="9" t="s">
        <v>16</v>
      </c>
      <c r="C15" s="9" t="s">
        <v>54</v>
      </c>
      <c r="D15" s="9" t="s">
        <v>55</v>
      </c>
      <c r="E15" s="9" t="s">
        <v>56</v>
      </c>
      <c r="F15" s="9" t="s">
        <v>13</v>
      </c>
      <c r="G15" s="5">
        <v>985</v>
      </c>
      <c r="H15" s="5" t="str">
        <f>_xlfn.DISPIMG("ID_182342D2F83B4C57A8F3DB1CFCDD42D2",1)</f>
        <v>=DISPIMG("ID_182342D2F83B4C57A8F3DB1CFCDD42D2",1)</v>
      </c>
      <c r="I15" s="5"/>
    </row>
    <row r="16" ht="50.05" spans="1:10">
      <c r="A16" s="5" t="s">
        <v>57</v>
      </c>
      <c r="B16" s="9" t="s">
        <v>58</v>
      </c>
      <c r="C16" s="5" t="s">
        <v>59</v>
      </c>
      <c r="D16" s="9" t="s">
        <v>60</v>
      </c>
      <c r="E16" s="9" t="s">
        <v>61</v>
      </c>
      <c r="F16" s="9" t="s">
        <v>13</v>
      </c>
      <c r="G16" s="5">
        <v>985</v>
      </c>
      <c r="H16" s="5" t="str">
        <f>_xlfn.DISPIMG("ID_A64B83B9D822430292C836D1E0B4C67A",1)</f>
        <v>=DISPIMG("ID_A64B83B9D822430292C836D1E0B4C67A",1)</v>
      </c>
      <c r="I16" s="5"/>
    </row>
    <row r="17" ht="62.25" spans="1:9">
      <c r="A17" s="7" t="s">
        <v>62</v>
      </c>
      <c r="B17" s="7" t="s">
        <v>16</v>
      </c>
      <c r="C17" s="8" t="s">
        <v>63</v>
      </c>
      <c r="D17" s="7" t="s">
        <v>64</v>
      </c>
      <c r="E17" s="12" t="s">
        <v>12</v>
      </c>
      <c r="F17" s="7" t="s">
        <v>13</v>
      </c>
      <c r="G17" s="7" t="s">
        <v>38</v>
      </c>
      <c r="H17" s="8" t="str">
        <f>_xlfn.DISPIMG("ID_6139E98B5157476ABB618541C95F72B9",1)</f>
        <v>=DISPIMG("ID_6139E98B5157476ABB618541C95F72B9",1)</v>
      </c>
      <c r="I17" s="8"/>
    </row>
    <row r="18" ht="60.45" spans="1:9">
      <c r="A18" s="5" t="s">
        <v>65</v>
      </c>
      <c r="B18" s="9" t="s">
        <v>9</v>
      </c>
      <c r="C18" s="5" t="s">
        <v>66</v>
      </c>
      <c r="D18" s="9" t="s">
        <v>67</v>
      </c>
      <c r="E18" s="9" t="s">
        <v>68</v>
      </c>
      <c r="F18" s="9" t="s">
        <v>13</v>
      </c>
      <c r="G18" s="9" t="s">
        <v>14</v>
      </c>
      <c r="H18" s="5" t="str">
        <f>_xlfn.DISPIMG("ID_322BB7CC772A4AA695D9B5A65321A7F8",1)</f>
        <v>=DISPIMG("ID_322BB7CC772A4AA695D9B5A65321A7F8",1)</v>
      </c>
      <c r="I18" s="5"/>
    </row>
    <row r="19" ht="49.85" spans="1:9">
      <c r="A19" s="5" t="s">
        <v>69</v>
      </c>
      <c r="B19" s="5" t="s">
        <v>16</v>
      </c>
      <c r="C19" s="5" t="s">
        <v>70</v>
      </c>
      <c r="D19" s="5" t="s">
        <v>71</v>
      </c>
      <c r="E19" s="5" t="s">
        <v>72</v>
      </c>
      <c r="F19" s="5" t="s">
        <v>13</v>
      </c>
      <c r="G19" s="5" t="s">
        <v>14</v>
      </c>
      <c r="H19" s="5" t="str">
        <f>_xlfn.DISPIMG("ID_4433A03A8BEA4ADF9BE5EB3569B20100",1)</f>
        <v>=DISPIMG("ID_4433A03A8BEA4ADF9BE5EB3569B20100",1)</v>
      </c>
      <c r="I19" s="5"/>
    </row>
    <row r="20" ht="59.6" spans="1:9">
      <c r="A20" s="5" t="s">
        <v>73</v>
      </c>
      <c r="B20" s="9" t="s">
        <v>74</v>
      </c>
      <c r="C20" s="5" t="s">
        <v>75</v>
      </c>
      <c r="D20" s="9" t="s">
        <v>76</v>
      </c>
      <c r="E20" s="13" t="s">
        <v>72</v>
      </c>
      <c r="F20" s="5" t="s">
        <v>13</v>
      </c>
      <c r="G20" s="9" t="s">
        <v>14</v>
      </c>
      <c r="H20" s="5" t="str">
        <f>_xlfn.DISPIMG("ID_9A5E35D3307D497BAF8B1E1EDAD0FA8F",1)</f>
        <v>=DISPIMG("ID_9A5E35D3307D497BAF8B1E1EDAD0FA8F",1)</v>
      </c>
      <c r="I20" s="9" t="s">
        <v>77</v>
      </c>
    </row>
    <row r="21" ht="59.2" spans="1:9">
      <c r="A21" s="5" t="s">
        <v>78</v>
      </c>
      <c r="B21" s="9" t="s">
        <v>74</v>
      </c>
      <c r="C21" s="5" t="s">
        <v>79</v>
      </c>
      <c r="D21" s="9" t="s">
        <v>80</v>
      </c>
      <c r="E21" s="9" t="s">
        <v>81</v>
      </c>
      <c r="F21" s="5" t="s">
        <v>13</v>
      </c>
      <c r="G21" s="9" t="s">
        <v>14</v>
      </c>
      <c r="H21" s="5" t="str">
        <f>_xlfn.DISPIMG("ID_8E4CC2831EB64CD7AB3BD1160A1FC75F",1)</f>
        <v>=DISPIMG("ID_8E4CC2831EB64CD7AB3BD1160A1FC75F",1)</v>
      </c>
      <c r="I21" s="9" t="s">
        <v>77</v>
      </c>
    </row>
    <row r="22" ht="59.2" spans="1:9">
      <c r="A22" s="9" t="s">
        <v>82</v>
      </c>
      <c r="B22" s="9" t="s">
        <v>74</v>
      </c>
      <c r="C22" s="5" t="s">
        <v>83</v>
      </c>
      <c r="D22" s="9" t="s">
        <v>84</v>
      </c>
      <c r="E22" s="9" t="s">
        <v>81</v>
      </c>
      <c r="F22" s="5" t="s">
        <v>13</v>
      </c>
      <c r="G22" s="9" t="s">
        <v>14</v>
      </c>
      <c r="H22" s="5" t="str">
        <f>_xlfn.DISPIMG("ID_6599D147C9434A4E90E144737AAF0667",1)</f>
        <v>=DISPIMG("ID_6599D147C9434A4E90E144737AAF0667",1)</v>
      </c>
      <c r="I22" s="9" t="s">
        <v>77</v>
      </c>
    </row>
    <row r="23" ht="58.5" spans="1:9">
      <c r="A23" s="9" t="s">
        <v>82</v>
      </c>
      <c r="B23" s="9" t="s">
        <v>74</v>
      </c>
      <c r="C23" s="5" t="s">
        <v>85</v>
      </c>
      <c r="D23" s="9" t="s">
        <v>86</v>
      </c>
      <c r="E23" s="9" t="s">
        <v>81</v>
      </c>
      <c r="F23" s="5" t="s">
        <v>13</v>
      </c>
      <c r="G23" s="9" t="s">
        <v>14</v>
      </c>
      <c r="H23" s="5" t="str">
        <f>_xlfn.DISPIMG("ID_6E77675DB2E547519B759F840C2F8622",1)</f>
        <v>=DISPIMG("ID_6E77675DB2E547519B759F840C2F8622",1)</v>
      </c>
      <c r="I23" s="9" t="s">
        <v>77</v>
      </c>
    </row>
    <row r="24" ht="57.55" spans="1:9">
      <c r="A24" s="5" t="s">
        <v>87</v>
      </c>
      <c r="B24" s="5" t="s">
        <v>74</v>
      </c>
      <c r="C24" s="5" t="s">
        <v>88</v>
      </c>
      <c r="D24" s="5" t="s">
        <v>89</v>
      </c>
      <c r="E24" s="9" t="s">
        <v>81</v>
      </c>
      <c r="F24" s="5" t="s">
        <v>13</v>
      </c>
      <c r="G24" s="5" t="s">
        <v>14</v>
      </c>
      <c r="H24" s="5" t="str">
        <f>_xlfn.DISPIMG("ID_98EFD791D0F746558779A139B06DA76D",1)</f>
        <v>=DISPIMG("ID_98EFD791D0F746558779A139B06DA76D",1)</v>
      </c>
      <c r="I24" s="9" t="s">
        <v>77</v>
      </c>
    </row>
    <row r="25" ht="56.45" spans="1:9">
      <c r="A25" s="9" t="s">
        <v>90</v>
      </c>
      <c r="B25" s="9" t="s">
        <v>74</v>
      </c>
      <c r="C25" s="5" t="s">
        <v>91</v>
      </c>
      <c r="D25" s="9" t="s">
        <v>92</v>
      </c>
      <c r="E25" s="9" t="s">
        <v>93</v>
      </c>
      <c r="F25" s="9" t="s">
        <v>52</v>
      </c>
      <c r="G25" s="5" t="s">
        <v>14</v>
      </c>
      <c r="H25" s="5" t="str">
        <f>_xlfn.DISPIMG("ID_0718542A167E49928848EE001524CDA8",1)</f>
        <v>=DISPIMG("ID_0718542A167E49928848EE001524CDA8",1)</v>
      </c>
      <c r="I25" s="5"/>
    </row>
    <row r="26" ht="60.05" spans="1:9">
      <c r="A26" s="9" t="s">
        <v>94</v>
      </c>
      <c r="B26" s="9" t="s">
        <v>16</v>
      </c>
      <c r="C26" s="14" t="s">
        <v>95</v>
      </c>
      <c r="D26" s="9" t="s">
        <v>96</v>
      </c>
      <c r="E26" s="9" t="s">
        <v>93</v>
      </c>
      <c r="F26" s="5" t="s">
        <v>13</v>
      </c>
      <c r="G26" s="5" t="s">
        <v>14</v>
      </c>
      <c r="H26" s="5" t="str">
        <f>_xlfn.DISPIMG("ID_83E31D5C1EB24667ACCE592FFF6BE00C",1)</f>
        <v>=DISPIMG("ID_83E31D5C1EB24667ACCE592FFF6BE00C",1)</v>
      </c>
      <c r="I26" s="5"/>
    </row>
    <row r="27" ht="59.6" spans="1:9">
      <c r="A27" s="9" t="s">
        <v>94</v>
      </c>
      <c r="B27" s="9" t="s">
        <v>16</v>
      </c>
      <c r="C27" s="14" t="s">
        <v>97</v>
      </c>
      <c r="D27" s="9" t="s">
        <v>98</v>
      </c>
      <c r="E27" s="9" t="s">
        <v>93</v>
      </c>
      <c r="F27" s="5" t="s">
        <v>13</v>
      </c>
      <c r="G27" s="5" t="s">
        <v>14</v>
      </c>
      <c r="H27" s="5" t="str">
        <f>_xlfn.DISPIMG("ID_5966C33D60434930928F95428FAF776B",1)</f>
        <v>=DISPIMG("ID_5966C33D60434930928F95428FAF776B",1)</v>
      </c>
      <c r="I27" s="5"/>
    </row>
    <row r="28" ht="63.45" spans="1:9">
      <c r="A28" s="5" t="s">
        <v>94</v>
      </c>
      <c r="B28" s="5" t="s">
        <v>16</v>
      </c>
      <c r="C28" s="15" t="s">
        <v>99</v>
      </c>
      <c r="D28" s="5" t="s">
        <v>100</v>
      </c>
      <c r="E28" s="5" t="s">
        <v>101</v>
      </c>
      <c r="F28" s="5" t="s">
        <v>13</v>
      </c>
      <c r="G28" s="5" t="s">
        <v>14</v>
      </c>
      <c r="H28" s="5" t="str">
        <f>_xlfn.DISPIMG("ID_1D382C0ABD5C42599112E51B6D3E19A2",1)</f>
        <v>=DISPIMG("ID_1D382C0ABD5C42599112E51B6D3E19A2",1)</v>
      </c>
      <c r="I28" s="5"/>
    </row>
    <row r="29" ht="58.45" spans="1:9">
      <c r="A29" s="9" t="s">
        <v>102</v>
      </c>
      <c r="B29" s="9" t="s">
        <v>9</v>
      </c>
      <c r="C29" s="5" t="s">
        <v>103</v>
      </c>
      <c r="D29" s="9" t="s">
        <v>104</v>
      </c>
      <c r="E29" s="9" t="s">
        <v>101</v>
      </c>
      <c r="F29" s="5" t="s">
        <v>105</v>
      </c>
      <c r="G29" s="9" t="s">
        <v>14</v>
      </c>
      <c r="H29" s="5" t="str">
        <f>_xlfn.DISPIMG("ID_4A532F83D2A84AE3A57FEFB2894F6261",1)</f>
        <v>=DISPIMG("ID_4A532F83D2A84AE3A57FEFB2894F6261",1)</v>
      </c>
      <c r="I29" s="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509975498483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WWO_wpscloud_20260317213707-68ca688169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21973</dc:creator>
  <cp:lastModifiedBy>晨风。</cp:lastModifiedBy>
  <dcterms:created xsi:type="dcterms:W3CDTF">2026-04-10T02:07:00Z</dcterms:created>
  <dcterms:modified xsi:type="dcterms:W3CDTF">2026-04-10T02:08:00Z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B4D41B6BA27A4C15AEB58DBBAE8AE539_11</vt:lpwstr>
  </property>
  <property fmtid="{D5CDD505-2E9C-101B-9397-08002B2CF9AE}" pid="3" name="KSOProductBuildVer">
    <vt:lpwstr>2052-12.9.0.25824</vt:lpwstr>
  </property>
  <property fmtid="{D5CDD505-2E9C-101B-9397-08002B2CF9AE}" pid="4" name="CalculationRule">
    <vt:i4>1</vt:i4>
  </property>
</Properties>
</file>